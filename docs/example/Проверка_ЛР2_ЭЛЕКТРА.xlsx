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Приведение" sheetId="2" state="visible" r:id="rId2"/>
    <sheet xmlns:r="http://schemas.openxmlformats.org/officeDocument/2006/relationships" name="Веса" sheetId="3" state="visible" r:id="rId3"/>
    <sheet xmlns:r="http://schemas.openxmlformats.org/officeDocument/2006/relationships" name="Парето" sheetId="4" state="visible" r:id="rId4"/>
    <sheet xmlns:r="http://schemas.openxmlformats.org/officeDocument/2006/relationships" name="ЭЛЕКТРА" sheetId="5" state="visible" r:id="rId5"/>
    <sheet xmlns:r="http://schemas.openxmlformats.org/officeDocument/2006/relationships" name="Свод" sheetId="6" state="visible" r:id="rId6"/>
  </sheets>
  <definedNames>
    <definedName name="Словарь">'Исходные данные'!$A$9:$B$16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7DA"/>
      </left>
      <right style="thin">
        <color rgb="00B7C7DA"/>
      </right>
      <top style="thin">
        <color rgb="00B7C7DA"/>
      </top>
      <bottom style="thin">
        <color rgb="00B7C7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2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4" customHeight="1">
      <c r="A1" s="1" t="inlineStr">
        <is>
          <t>Выбор площадки для строительства нового предприятия (вариант 3)</t>
        </is>
      </c>
    </row>
    <row r="2">
      <c r="A2" s="2" t="inlineStr">
        <is>
          <t>Критерий</t>
        </is>
      </c>
      <c r="B2" s="2" t="inlineStr">
        <is>
          <t>Пл1</t>
        </is>
      </c>
      <c r="C2" s="2" t="inlineStr">
        <is>
          <t>Пл2</t>
        </is>
      </c>
      <c r="D2" s="2" t="inlineStr">
        <is>
          <t>Пл3</t>
        </is>
      </c>
      <c r="E2" s="2" t="inlineStr">
        <is>
          <t>Пл4</t>
        </is>
      </c>
      <c r="F2" s="2" t="inlineStr">
        <is>
          <t>Пл5</t>
        </is>
      </c>
      <c r="G2" s="2" t="inlineStr">
        <is>
          <t>Пл6</t>
        </is>
      </c>
    </row>
    <row r="3">
      <c r="A3" s="3" t="inlineStr">
        <is>
          <t>Дорожная сеть</t>
        </is>
      </c>
      <c r="B3" s="4" t="inlineStr">
        <is>
          <t>средняя</t>
        </is>
      </c>
      <c r="C3" s="4" t="inlineStr">
        <is>
          <t>плохая</t>
        </is>
      </c>
      <c r="D3" s="4" t="inlineStr">
        <is>
          <t>развитая</t>
        </is>
      </c>
      <c r="E3" s="4" t="inlineStr">
        <is>
          <t>развитая (немного лучше, чем у Пл3)</t>
        </is>
      </c>
      <c r="F3" s="4" t="inlineStr">
        <is>
          <t>средняя</t>
        </is>
      </c>
      <c r="G3" s="4" t="inlineStr">
        <is>
          <t>плохая</t>
        </is>
      </c>
    </row>
    <row r="4">
      <c r="A4" s="3" t="inlineStr">
        <is>
          <t>Энергоснабжение</t>
        </is>
      </c>
      <c r="B4" s="4" t="inlineStr">
        <is>
          <t>хорошее</t>
        </is>
      </c>
      <c r="C4" s="4" t="inlineStr">
        <is>
          <t>хорошее</t>
        </is>
      </c>
      <c r="D4" s="4" t="inlineStr">
        <is>
          <t>плохое</t>
        </is>
      </c>
      <c r="E4" s="4" t="inlineStr">
        <is>
          <t>среднее</t>
        </is>
      </c>
      <c r="F4" s="4" t="inlineStr">
        <is>
          <t>очень хорошее</t>
        </is>
      </c>
      <c r="G4" s="4" t="inlineStr">
        <is>
          <t>среднее</t>
        </is>
      </c>
    </row>
    <row r="5">
      <c r="A5" s="3" t="inlineStr">
        <is>
          <t>Затраты на подготовку, млн ден. ед.</t>
        </is>
      </c>
      <c r="B5" s="4" t="n">
        <v>3.5</v>
      </c>
      <c r="C5" s="4" t="n">
        <v>2.5</v>
      </c>
      <c r="D5" s="4" t="n">
        <v>3</v>
      </c>
      <c r="E5" s="4" t="n">
        <v>3.5</v>
      </c>
      <c r="F5" s="4" t="n">
        <v>3</v>
      </c>
      <c r="G5" s="4" t="n">
        <v>2</v>
      </c>
    </row>
    <row r="7">
      <c r="A7" s="5" t="inlineStr">
        <is>
          <t>Словесные оценки в числовом виде (шкала Харрингтона)</t>
        </is>
      </c>
    </row>
    <row r="8">
      <c r="A8" s="2" t="inlineStr">
        <is>
          <t>Оценка</t>
        </is>
      </c>
      <c r="B8" s="2" t="inlineStr">
        <is>
          <t>Число</t>
        </is>
      </c>
    </row>
    <row r="9">
      <c r="A9" s="3" t="inlineStr">
        <is>
          <t>плохая</t>
        </is>
      </c>
      <c r="B9" s="4" t="n">
        <v>0.28</v>
      </c>
    </row>
    <row r="10">
      <c r="A10" s="3" t="inlineStr">
        <is>
          <t>плохое</t>
        </is>
      </c>
      <c r="B10" s="4" t="n">
        <v>0.28</v>
      </c>
    </row>
    <row r="11">
      <c r="A11" s="3" t="inlineStr">
        <is>
          <t>средняя</t>
        </is>
      </c>
      <c r="B11" s="4" t="n">
        <v>0.5</v>
      </c>
    </row>
    <row r="12">
      <c r="A12" s="3" t="inlineStr">
        <is>
          <t>среднее</t>
        </is>
      </c>
      <c r="B12" s="4" t="n">
        <v>0.5</v>
      </c>
    </row>
    <row r="13">
      <c r="A13" s="3" t="inlineStr">
        <is>
          <t>развитая</t>
        </is>
      </c>
      <c r="B13" s="4" t="n">
        <v>0.7</v>
      </c>
    </row>
    <row r="14">
      <c r="A14" s="3" t="inlineStr">
        <is>
          <t>хорошее</t>
        </is>
      </c>
      <c r="B14" s="4" t="n">
        <v>0.7</v>
      </c>
    </row>
    <row r="15">
      <c r="A15" s="3" t="inlineStr">
        <is>
          <t>развитая (немного лучше, чем у Пл3)</t>
        </is>
      </c>
      <c r="B15" s="4" t="n">
        <v>0.75</v>
      </c>
    </row>
    <row r="16">
      <c r="A16" s="3" t="inlineStr">
        <is>
          <t>очень хорошее</t>
        </is>
      </c>
      <c r="B16" s="4" t="n">
        <v>0.9</v>
      </c>
    </row>
    <row r="18">
      <c r="A18" s="5" t="inlineStr">
        <is>
          <t>Диапазоны шкалы Харрингтона</t>
        </is>
      </c>
    </row>
    <row r="19">
      <c r="A19" s="2" t="inlineStr">
        <is>
          <t>Качественная оценка</t>
        </is>
      </c>
      <c r="B19" s="2" t="inlineStr">
        <is>
          <t>От</t>
        </is>
      </c>
      <c r="C19" s="2" t="inlineStr">
        <is>
          <t>До</t>
        </is>
      </c>
    </row>
    <row r="20">
      <c r="A20" s="3" t="inlineStr">
        <is>
          <t>очень плохо</t>
        </is>
      </c>
      <c r="B20" s="3" t="n">
        <v>0</v>
      </c>
      <c r="C20" s="3" t="n">
        <v>0.2</v>
      </c>
    </row>
    <row r="21">
      <c r="A21" s="3" t="inlineStr">
        <is>
          <t>плохо</t>
        </is>
      </c>
      <c r="B21" s="3" t="n">
        <v>0.2</v>
      </c>
      <c r="C21" s="3" t="n">
        <v>0.36</v>
      </c>
    </row>
    <row r="22">
      <c r="A22" s="3" t="inlineStr">
        <is>
          <t>удовлетворительно</t>
        </is>
      </c>
      <c r="B22" s="3" t="n">
        <v>0.36</v>
      </c>
      <c r="C22" s="3" t="n">
        <v>0.63</v>
      </c>
    </row>
    <row r="23">
      <c r="A23" s="3" t="inlineStr">
        <is>
          <t>хорошо</t>
        </is>
      </c>
      <c r="B23" s="3" t="n">
        <v>0.63</v>
      </c>
      <c r="C23" s="3" t="n">
        <v>0.8</v>
      </c>
    </row>
    <row r="24">
      <c r="A24" s="3" t="inlineStr">
        <is>
          <t>отлично</t>
        </is>
      </c>
      <c r="B24" s="3" t="n">
        <v>0.8</v>
      </c>
      <c r="C24" s="3" t="n">
        <v>1</v>
      </c>
    </row>
    <row r="26">
      <c r="A26" s="5" t="inlineStr">
        <is>
          <t>Баллы экспертов (пятибалльная шкала)</t>
        </is>
      </c>
    </row>
    <row r="27">
      <c r="A27" s="2" t="inlineStr">
        <is>
          <t>Эксперт</t>
        </is>
      </c>
      <c r="B27" s="2" t="inlineStr">
        <is>
          <t>Дорожная сеть</t>
        </is>
      </c>
      <c r="C27" s="2" t="inlineStr">
        <is>
          <t>Энергоснабжение</t>
        </is>
      </c>
      <c r="D27" s="2" t="inlineStr">
        <is>
          <t>Затраты на подготовку</t>
        </is>
      </c>
    </row>
    <row r="28">
      <c r="A28" s="3" t="inlineStr">
        <is>
          <t>Эксперт 1</t>
        </is>
      </c>
      <c r="B28" s="4" t="n">
        <v>3</v>
      </c>
      <c r="C28" s="4" t="n">
        <v>3</v>
      </c>
      <c r="D28" s="4" t="n">
        <v>5</v>
      </c>
    </row>
    <row r="29">
      <c r="A29" s="3" t="inlineStr">
        <is>
          <t>Эксперт 2</t>
        </is>
      </c>
      <c r="B29" s="4" t="n">
        <v>5</v>
      </c>
      <c r="C29" s="4" t="n">
        <v>3</v>
      </c>
      <c r="D29" s="4" t="n">
        <v>4</v>
      </c>
    </row>
    <row r="30">
      <c r="A30" t="inlineStr">
        <is>
          <t>Эксперт 1: наиболее важный критерий — затраты на подготовку к строительству, дорожная сеть и энергоснабжение менее важны и одинаковы между собой.</t>
        </is>
      </c>
    </row>
    <row r="31">
      <c r="A31" t="inlineStr">
        <is>
          <t>Эксперт 2: наиболее важный критерий — дорожная сеть, немного менее важный — затраты на подготовку, ещё немного менее важный — энергоснабжение.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Приведение оценок к безразмерному виду</t>
        </is>
      </c>
    </row>
    <row r="2">
      <c r="A2" s="2" t="inlineStr">
        <is>
          <t>Критерий</t>
        </is>
      </c>
      <c r="B2" s="2" t="inlineStr">
        <is>
          <t>Пл1</t>
        </is>
      </c>
      <c r="C2" s="2" t="inlineStr">
        <is>
          <t>Пл2</t>
        </is>
      </c>
      <c r="D2" s="2" t="inlineStr">
        <is>
          <t>Пл3</t>
        </is>
      </c>
      <c r="E2" s="2" t="inlineStr">
        <is>
          <t>Пл4</t>
        </is>
      </c>
      <c r="F2" s="2" t="inlineStr">
        <is>
          <t>Пл5</t>
        </is>
      </c>
      <c r="G2" s="2" t="inlineStr">
        <is>
          <t>Пл6</t>
        </is>
      </c>
    </row>
    <row r="3">
      <c r="A3" s="3" t="inlineStr">
        <is>
          <t>Дорожная сеть</t>
        </is>
      </c>
      <c r="B3" s="6">
        <f>VLOOKUP('Исходные данные'!B3,Словарь,2,FALSE)</f>
        <v/>
      </c>
      <c r="C3" s="6">
        <f>VLOOKUP('Исходные данные'!C3,Словарь,2,FALSE)</f>
        <v/>
      </c>
      <c r="D3" s="6">
        <f>VLOOKUP('Исходные данные'!D3,Словарь,2,FALSE)</f>
        <v/>
      </c>
      <c r="E3" s="6">
        <f>VLOOKUP('Исходные данные'!E3,Словарь,2,FALSE)</f>
        <v/>
      </c>
      <c r="F3" s="6">
        <f>VLOOKUP('Исходные данные'!F3,Словарь,2,FALSE)</f>
        <v/>
      </c>
      <c r="G3" s="6">
        <f>VLOOKUP('Исходные данные'!G3,Словарь,2,FALSE)</f>
        <v/>
      </c>
    </row>
    <row r="4">
      <c r="A4" s="3" t="inlineStr">
        <is>
          <t>Энергоснабжение</t>
        </is>
      </c>
      <c r="B4" s="6">
        <f>VLOOKUP('Исходные данные'!B4,Словарь,2,FALSE)</f>
        <v/>
      </c>
      <c r="C4" s="6">
        <f>VLOOKUP('Исходные данные'!C4,Словарь,2,FALSE)</f>
        <v/>
      </c>
      <c r="D4" s="6">
        <f>VLOOKUP('Исходные данные'!D4,Словарь,2,FALSE)</f>
        <v/>
      </c>
      <c r="E4" s="6">
        <f>VLOOKUP('Исходные данные'!E4,Словарь,2,FALSE)</f>
        <v/>
      </c>
      <c r="F4" s="6">
        <f>VLOOKUP('Исходные данные'!F4,Словарь,2,FALSE)</f>
        <v/>
      </c>
      <c r="G4" s="6">
        <f>VLOOKUP('Исходные данные'!G4,Словарь,2,FALSE)</f>
        <v/>
      </c>
    </row>
    <row r="5">
      <c r="A5" s="3" t="inlineStr">
        <is>
          <t>Затраты на подготовку</t>
        </is>
      </c>
      <c r="B5" s="6">
        <f>'Исходные данные'!B5</f>
        <v/>
      </c>
      <c r="C5" s="6">
        <f>'Исходные данные'!C5</f>
        <v/>
      </c>
      <c r="D5" s="6">
        <f>'Исходные данные'!D5</f>
        <v/>
      </c>
      <c r="E5" s="6">
        <f>'Исходные данные'!E5</f>
        <v/>
      </c>
      <c r="F5" s="6">
        <f>'Исходные данные'!F5</f>
        <v/>
      </c>
      <c r="G5" s="6">
        <f>'Исходные данные'!G5</f>
        <v/>
      </c>
    </row>
    <row r="6">
      <c r="A6" s="5" t="inlineStr">
        <is>
          <t>Безразмерные оценки</t>
        </is>
      </c>
    </row>
    <row r="7">
      <c r="A7" s="2" t="inlineStr">
        <is>
          <t>Критерий</t>
        </is>
      </c>
      <c r="B7" s="2" t="inlineStr">
        <is>
          <t>Пл1</t>
        </is>
      </c>
      <c r="C7" s="2" t="inlineStr">
        <is>
          <t>Пл2</t>
        </is>
      </c>
      <c r="D7" s="2" t="inlineStr">
        <is>
          <t>Пл3</t>
        </is>
      </c>
      <c r="E7" s="2" t="inlineStr">
        <is>
          <t>Пл4</t>
        </is>
      </c>
      <c r="F7" s="2" t="inlineStr">
        <is>
          <t>Пл5</t>
        </is>
      </c>
      <c r="G7" s="2" t="inlineStr">
        <is>
          <t>Пл6</t>
        </is>
      </c>
    </row>
    <row r="8">
      <c r="A8" s="3" t="inlineStr">
        <is>
          <t>Дорожная сеть (больше — лучше)</t>
        </is>
      </c>
      <c r="B8" s="7">
        <f>B3/MAX($B$3:$G$3)</f>
        <v/>
      </c>
      <c r="C8" s="7">
        <f>C3/MAX($B$3:$G$3)</f>
        <v/>
      </c>
      <c r="D8" s="7">
        <f>D3/MAX($B$3:$G$3)</f>
        <v/>
      </c>
      <c r="E8" s="7">
        <f>E3/MAX($B$3:$G$3)</f>
        <v/>
      </c>
      <c r="F8" s="7">
        <f>F3/MAX($B$3:$G$3)</f>
        <v/>
      </c>
      <c r="G8" s="7">
        <f>G3/MAX($B$3:$G$3)</f>
        <v/>
      </c>
    </row>
    <row r="9">
      <c r="A9" s="3" t="inlineStr">
        <is>
          <t>Энергоснабжение (больше — лучше)</t>
        </is>
      </c>
      <c r="B9" s="7">
        <f>B4/MAX($B$4:$G$4)</f>
        <v/>
      </c>
      <c r="C9" s="7">
        <f>C4/MAX($B$4:$G$4)</f>
        <v/>
      </c>
      <c r="D9" s="7">
        <f>D4/MAX($B$4:$G$4)</f>
        <v/>
      </c>
      <c r="E9" s="7">
        <f>E4/MAX($B$4:$G$4)</f>
        <v/>
      </c>
      <c r="F9" s="7">
        <f>F4/MAX($B$4:$G$4)</f>
        <v/>
      </c>
      <c r="G9" s="7">
        <f>G4/MAX($B$4:$G$4)</f>
        <v/>
      </c>
    </row>
    <row r="10">
      <c r="A10" s="3" t="inlineStr">
        <is>
          <t>Затраты на подготовку (меньше — лучше)</t>
        </is>
      </c>
      <c r="B10" s="7">
        <f>MIN($B$5:$G$5)/B5</f>
        <v/>
      </c>
      <c r="C10" s="7">
        <f>MIN($B$5:$G$5)/C5</f>
        <v/>
      </c>
      <c r="D10" s="7">
        <f>MIN($B$5:$G$5)/D5</f>
        <v/>
      </c>
      <c r="E10" s="7">
        <f>MIN($B$5:$G$5)/E5</f>
        <v/>
      </c>
      <c r="F10" s="7">
        <f>MIN($B$5:$G$5)/F5</f>
        <v/>
      </c>
      <c r="G10" s="7">
        <f>MIN($B$5:$G$5)/G5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Веса критериев по методу ранга</t>
        </is>
      </c>
    </row>
    <row r="2">
      <c r="A2" s="2" t="inlineStr">
        <is>
          <t>Критерий</t>
        </is>
      </c>
      <c r="B2" s="2" t="inlineStr">
        <is>
          <t>Эксперт 1</t>
        </is>
      </c>
      <c r="C2" s="2" t="inlineStr">
        <is>
          <t>Эксперт 2</t>
        </is>
      </c>
      <c r="D2" s="2" t="inlineStr">
        <is>
          <t>Сумма баллов</t>
        </is>
      </c>
      <c r="E2" s="2" t="inlineStr">
        <is>
          <t>Вес критерия</t>
        </is>
      </c>
    </row>
    <row r="3">
      <c r="A3" s="3" t="inlineStr">
        <is>
          <t>Дорожная сеть</t>
        </is>
      </c>
      <c r="B3" s="4">
        <f>'Исходные данные'!B28</f>
        <v/>
      </c>
      <c r="C3" s="4">
        <f>'Исходные данные'!B29</f>
        <v/>
      </c>
      <c r="D3" s="4">
        <f>SUM(B3:C3)</f>
        <v/>
      </c>
      <c r="E3" s="8">
        <f>D3/SUM($D$3:$D$5)</f>
        <v/>
      </c>
    </row>
    <row r="4">
      <c r="A4" s="3" t="inlineStr">
        <is>
          <t>Энергоснабжение</t>
        </is>
      </c>
      <c r="B4" s="4">
        <f>'Исходные данные'!C28</f>
        <v/>
      </c>
      <c r="C4" s="4">
        <f>'Исходные данные'!C29</f>
        <v/>
      </c>
      <c r="D4" s="4">
        <f>SUM(B4:C4)</f>
        <v/>
      </c>
      <c r="E4" s="8">
        <f>D4/SUM($D$3:$D$5)</f>
        <v/>
      </c>
    </row>
    <row r="5">
      <c r="A5" s="3" t="inlineStr">
        <is>
          <t>Затраты на подготовку</t>
        </is>
      </c>
      <c r="B5" s="4">
        <f>'Исходные данные'!D28</f>
        <v/>
      </c>
      <c r="C5" s="4">
        <f>'Исходные данные'!D29</f>
        <v/>
      </c>
      <c r="D5" s="4">
        <f>SUM(B5:C5)</f>
        <v/>
      </c>
      <c r="E5" s="8">
        <f>D5/SUM($D$3:$D$5)</f>
        <v/>
      </c>
    </row>
    <row r="6">
      <c r="A6" s="5" t="inlineStr">
        <is>
          <t>Итого</t>
        </is>
      </c>
      <c r="D6" s="5">
        <f>SUM(D3:D5)</f>
        <v/>
      </c>
      <c r="E6" s="5">
        <f>SUM(E3:E5)</f>
        <v/>
      </c>
    </row>
    <row r="8">
      <c r="A8" t="inlineStr">
        <is>
          <t>Вес критерия — это доля его баллов в общей сумме баллов, выставленных экспертами.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1" t="inlineStr">
        <is>
          <t>Множество Парето: какая площадка кого превосходит</t>
        </is>
      </c>
    </row>
    <row r="2">
      <c r="A2" s="5" t="inlineStr">
        <is>
          <t>Строка превосходит столбец («1» — превосходит по всем критериям)</t>
        </is>
      </c>
    </row>
    <row r="3">
      <c r="A3" s="2" t="inlineStr"/>
      <c r="B3" s="2" t="inlineStr">
        <is>
          <t>Пл1</t>
        </is>
      </c>
      <c r="C3" s="2" t="inlineStr">
        <is>
          <t>Пл2</t>
        </is>
      </c>
      <c r="D3" s="2" t="inlineStr">
        <is>
          <t>Пл3</t>
        </is>
      </c>
      <c r="E3" s="2" t="inlineStr">
        <is>
          <t>Пл4</t>
        </is>
      </c>
      <c r="F3" s="2" t="inlineStr">
        <is>
          <t>Пл5</t>
        </is>
      </c>
      <c r="G3" s="2" t="inlineStr">
        <is>
          <t>Пл6</t>
        </is>
      </c>
    </row>
    <row r="4">
      <c r="A4" s="9" t="inlineStr">
        <is>
          <t>Пл1</t>
        </is>
      </c>
      <c r="B4" s="4" t="inlineStr">
        <is>
          <t>—</t>
        </is>
      </c>
      <c r="C4" s="4">
        <f>IF(AND(SUMPRODUCT(--(Приведение!$B$8:$B$10&gt;=Приведение!$C$8:$C$10))=3,SUMPRODUCT(--(Приведение!$B$8:$B$10&gt;Приведение!$C$8:$C$10))&gt;0),1,0)</f>
        <v/>
      </c>
      <c r="D4" s="4">
        <f>IF(AND(SUMPRODUCT(--(Приведение!$B$8:$B$10&gt;=Приведение!$D$8:$D$10))=3,SUMPRODUCT(--(Приведение!$B$8:$B$10&gt;Приведение!$D$8:$D$10))&gt;0),1,0)</f>
        <v/>
      </c>
      <c r="E4" s="4">
        <f>IF(AND(SUMPRODUCT(--(Приведение!$B$8:$B$10&gt;=Приведение!$E$8:$E$10))=3,SUMPRODUCT(--(Приведение!$B$8:$B$10&gt;Приведение!$E$8:$E$10))&gt;0),1,0)</f>
        <v/>
      </c>
      <c r="F4" s="4">
        <f>IF(AND(SUMPRODUCT(--(Приведение!$B$8:$B$10&gt;=Приведение!$F$8:$F$10))=3,SUMPRODUCT(--(Приведение!$B$8:$B$10&gt;Приведение!$F$8:$F$10))&gt;0),1,0)</f>
        <v/>
      </c>
      <c r="G4" s="4">
        <f>IF(AND(SUMPRODUCT(--(Приведение!$B$8:$B$10&gt;=Приведение!$G$8:$G$10))=3,SUMPRODUCT(--(Приведение!$B$8:$B$10&gt;Приведение!$G$8:$G$10))&gt;0),1,0)</f>
        <v/>
      </c>
    </row>
    <row r="5">
      <c r="A5" s="9" t="inlineStr">
        <is>
          <t>Пл2</t>
        </is>
      </c>
      <c r="B5" s="4">
        <f>IF(AND(SUMPRODUCT(--(Приведение!$C$8:$C$10&gt;=Приведение!$B$8:$B$10))=3,SUMPRODUCT(--(Приведение!$C$8:$C$10&gt;Приведение!$B$8:$B$10))&gt;0),1,0)</f>
        <v/>
      </c>
      <c r="C5" s="4" t="inlineStr">
        <is>
          <t>—</t>
        </is>
      </c>
      <c r="D5" s="4">
        <f>IF(AND(SUMPRODUCT(--(Приведение!$C$8:$C$10&gt;=Приведение!$D$8:$D$10))=3,SUMPRODUCT(--(Приведение!$C$8:$C$10&gt;Приведение!$D$8:$D$10))&gt;0),1,0)</f>
        <v/>
      </c>
      <c r="E5" s="4">
        <f>IF(AND(SUMPRODUCT(--(Приведение!$C$8:$C$10&gt;=Приведение!$E$8:$E$10))=3,SUMPRODUCT(--(Приведение!$C$8:$C$10&gt;Приведение!$E$8:$E$10))&gt;0),1,0)</f>
        <v/>
      </c>
      <c r="F5" s="4">
        <f>IF(AND(SUMPRODUCT(--(Приведение!$C$8:$C$10&gt;=Приведение!$F$8:$F$10))=3,SUMPRODUCT(--(Приведение!$C$8:$C$10&gt;Приведение!$F$8:$F$10))&gt;0),1,0)</f>
        <v/>
      </c>
      <c r="G5" s="4">
        <f>IF(AND(SUMPRODUCT(--(Приведение!$C$8:$C$10&gt;=Приведение!$G$8:$G$10))=3,SUMPRODUCT(--(Приведение!$C$8:$C$10&gt;Приведение!$G$8:$G$10))&gt;0),1,0)</f>
        <v/>
      </c>
    </row>
    <row r="6">
      <c r="A6" s="9" t="inlineStr">
        <is>
          <t>Пл3</t>
        </is>
      </c>
      <c r="B6" s="4">
        <f>IF(AND(SUMPRODUCT(--(Приведение!$D$8:$D$10&gt;=Приведение!$B$8:$B$10))=3,SUMPRODUCT(--(Приведение!$D$8:$D$10&gt;Приведение!$B$8:$B$10))&gt;0),1,0)</f>
        <v/>
      </c>
      <c r="C6" s="4">
        <f>IF(AND(SUMPRODUCT(--(Приведение!$D$8:$D$10&gt;=Приведение!$C$8:$C$10))=3,SUMPRODUCT(--(Приведение!$D$8:$D$10&gt;Приведение!$C$8:$C$10))&gt;0),1,0)</f>
        <v/>
      </c>
      <c r="D6" s="4" t="inlineStr">
        <is>
          <t>—</t>
        </is>
      </c>
      <c r="E6" s="4">
        <f>IF(AND(SUMPRODUCT(--(Приведение!$D$8:$D$10&gt;=Приведение!$E$8:$E$10))=3,SUMPRODUCT(--(Приведение!$D$8:$D$10&gt;Приведение!$E$8:$E$10))&gt;0),1,0)</f>
        <v/>
      </c>
      <c r="F6" s="4">
        <f>IF(AND(SUMPRODUCT(--(Приведение!$D$8:$D$10&gt;=Приведение!$F$8:$F$10))=3,SUMPRODUCT(--(Приведение!$D$8:$D$10&gt;Приведение!$F$8:$F$10))&gt;0),1,0)</f>
        <v/>
      </c>
      <c r="G6" s="4">
        <f>IF(AND(SUMPRODUCT(--(Приведение!$D$8:$D$10&gt;=Приведение!$G$8:$G$10))=3,SUMPRODUCT(--(Приведение!$D$8:$D$10&gt;Приведение!$G$8:$G$10))&gt;0),1,0)</f>
        <v/>
      </c>
    </row>
    <row r="7">
      <c r="A7" s="9" t="inlineStr">
        <is>
          <t>Пл4</t>
        </is>
      </c>
      <c r="B7" s="4">
        <f>IF(AND(SUMPRODUCT(--(Приведение!$E$8:$E$10&gt;=Приведение!$B$8:$B$10))=3,SUMPRODUCT(--(Приведение!$E$8:$E$10&gt;Приведение!$B$8:$B$10))&gt;0),1,0)</f>
        <v/>
      </c>
      <c r="C7" s="4">
        <f>IF(AND(SUMPRODUCT(--(Приведение!$E$8:$E$10&gt;=Приведение!$C$8:$C$10))=3,SUMPRODUCT(--(Приведение!$E$8:$E$10&gt;Приведение!$C$8:$C$10))&gt;0),1,0)</f>
        <v/>
      </c>
      <c r="D7" s="4">
        <f>IF(AND(SUMPRODUCT(--(Приведение!$E$8:$E$10&gt;=Приведение!$D$8:$D$10))=3,SUMPRODUCT(--(Приведение!$E$8:$E$10&gt;Приведение!$D$8:$D$10))&gt;0),1,0)</f>
        <v/>
      </c>
      <c r="E7" s="4" t="inlineStr">
        <is>
          <t>—</t>
        </is>
      </c>
      <c r="F7" s="4">
        <f>IF(AND(SUMPRODUCT(--(Приведение!$E$8:$E$10&gt;=Приведение!$F$8:$F$10))=3,SUMPRODUCT(--(Приведение!$E$8:$E$10&gt;Приведение!$F$8:$F$10))&gt;0),1,0)</f>
        <v/>
      </c>
      <c r="G7" s="4">
        <f>IF(AND(SUMPRODUCT(--(Приведение!$E$8:$E$10&gt;=Приведение!$G$8:$G$10))=3,SUMPRODUCT(--(Приведение!$E$8:$E$10&gt;Приведение!$G$8:$G$10))&gt;0),1,0)</f>
        <v/>
      </c>
    </row>
    <row r="8">
      <c r="A8" s="9" t="inlineStr">
        <is>
          <t>Пл5</t>
        </is>
      </c>
      <c r="B8" s="4">
        <f>IF(AND(SUMPRODUCT(--(Приведение!$F$8:$F$10&gt;=Приведение!$B$8:$B$10))=3,SUMPRODUCT(--(Приведение!$F$8:$F$10&gt;Приведение!$B$8:$B$10))&gt;0),1,0)</f>
        <v/>
      </c>
      <c r="C8" s="4">
        <f>IF(AND(SUMPRODUCT(--(Приведение!$F$8:$F$10&gt;=Приведение!$C$8:$C$10))=3,SUMPRODUCT(--(Приведение!$F$8:$F$10&gt;Приведение!$C$8:$C$10))&gt;0),1,0)</f>
        <v/>
      </c>
      <c r="D8" s="4">
        <f>IF(AND(SUMPRODUCT(--(Приведение!$F$8:$F$10&gt;=Приведение!$D$8:$D$10))=3,SUMPRODUCT(--(Приведение!$F$8:$F$10&gt;Приведение!$D$8:$D$10))&gt;0),1,0)</f>
        <v/>
      </c>
      <c r="E8" s="4">
        <f>IF(AND(SUMPRODUCT(--(Приведение!$F$8:$F$10&gt;=Приведение!$E$8:$E$10))=3,SUMPRODUCT(--(Приведение!$F$8:$F$10&gt;Приведение!$E$8:$E$10))&gt;0),1,0)</f>
        <v/>
      </c>
      <c r="F8" s="4" t="inlineStr">
        <is>
          <t>—</t>
        </is>
      </c>
      <c r="G8" s="4">
        <f>IF(AND(SUMPRODUCT(--(Приведение!$F$8:$F$10&gt;=Приведение!$G$8:$G$10))=3,SUMPRODUCT(--(Приведение!$F$8:$F$10&gt;Приведение!$G$8:$G$10))&gt;0),1,0)</f>
        <v/>
      </c>
    </row>
    <row r="9">
      <c r="A9" s="9" t="inlineStr">
        <is>
          <t>Пл6</t>
        </is>
      </c>
      <c r="B9" s="4">
        <f>IF(AND(SUMPRODUCT(--(Приведение!$G$8:$G$10&gt;=Приведение!$B$8:$B$10))=3,SUMPRODUCT(--(Приведение!$G$8:$G$10&gt;Приведение!$B$8:$B$10))&gt;0),1,0)</f>
        <v/>
      </c>
      <c r="C9" s="4">
        <f>IF(AND(SUMPRODUCT(--(Приведение!$G$8:$G$10&gt;=Приведение!$C$8:$C$10))=3,SUMPRODUCT(--(Приведение!$G$8:$G$10&gt;Приведение!$C$8:$C$10))&gt;0),1,0)</f>
        <v/>
      </c>
      <c r="D9" s="4">
        <f>IF(AND(SUMPRODUCT(--(Приведение!$G$8:$G$10&gt;=Приведение!$D$8:$D$10))=3,SUMPRODUCT(--(Приведение!$G$8:$G$10&gt;Приведение!$D$8:$D$10))&gt;0),1,0)</f>
        <v/>
      </c>
      <c r="E9" s="4">
        <f>IF(AND(SUMPRODUCT(--(Приведение!$G$8:$G$10&gt;=Приведение!$E$8:$E$10))=3,SUMPRODUCT(--(Приведение!$G$8:$G$10&gt;Приведение!$E$8:$E$10))&gt;0),1,0)</f>
        <v/>
      </c>
      <c r="F9" s="4">
        <f>IF(AND(SUMPRODUCT(--(Приведение!$G$8:$G$10&gt;=Приведение!$F$8:$F$10))=3,SUMPRODUCT(--(Приведение!$G$8:$G$10&gt;Приведение!$F$8:$F$10))&gt;0),1,0)</f>
        <v/>
      </c>
      <c r="G9" s="4" t="inlineStr">
        <is>
          <t>—</t>
        </is>
      </c>
    </row>
    <row r="11">
      <c r="A11" s="5" t="inlineStr">
        <is>
          <t>Входит в множество Парето</t>
        </is>
      </c>
      <c r="B11" s="10">
        <f>IF(SUM(B4:B9)=0,"да","нет")</f>
        <v/>
      </c>
      <c r="C11" s="10">
        <f>IF(SUM(C4:C9)=0,"да","нет")</f>
        <v/>
      </c>
      <c r="D11" s="10">
        <f>IF(SUM(D4:D9)=0,"да","нет")</f>
        <v/>
      </c>
      <c r="E11" s="10">
        <f>IF(SUM(E4:E9)=0,"да","нет")</f>
        <v/>
      </c>
      <c r="F11" s="10">
        <f>IF(SUM(F4:F9)=0,"да","нет")</f>
        <v/>
      </c>
      <c r="G11" s="10">
        <f>IF(SUM(G4:G9)=0,"да","нет")</f>
        <v/>
      </c>
    </row>
    <row r="12">
      <c r="A12" s="5" t="inlineStr">
        <is>
          <t>Результат программы</t>
        </is>
      </c>
      <c r="B12" s="4" t="inlineStr">
        <is>
          <t>нет</t>
        </is>
      </c>
      <c r="C12" s="4" t="inlineStr">
        <is>
          <t>да</t>
        </is>
      </c>
      <c r="D12" s="4" t="inlineStr">
        <is>
          <t>да</t>
        </is>
      </c>
      <c r="E12" s="4" t="inlineStr">
        <is>
          <t>да</t>
        </is>
      </c>
      <c r="F12" s="4" t="inlineStr">
        <is>
          <t>да</t>
        </is>
      </c>
      <c r="G12" s="4" t="inlineStr">
        <is>
          <t>да</t>
        </is>
      </c>
    </row>
    <row r="14">
      <c r="A14" s="11">
        <f>IF(SUMPRODUCT(--(B11:G11=B12:G12))=6,"Совпадает: Excel отобрал те же площадки","Есть расхождения")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Метод ЭЛЕКТРА: индексы согласия и несогласия</t>
        </is>
      </c>
    </row>
    <row r="2">
      <c r="A2" s="5" t="inlineStr">
        <is>
          <t>Индексы согласия: сумма весов критериев, по которым строка не хуже столбца</t>
        </is>
      </c>
    </row>
    <row r="3">
      <c r="A3" s="2" t="inlineStr"/>
      <c r="B3" s="2" t="inlineStr">
        <is>
          <t>Пл2</t>
        </is>
      </c>
      <c r="C3" s="2" t="inlineStr">
        <is>
          <t>Пл3</t>
        </is>
      </c>
      <c r="D3" s="2" t="inlineStr">
        <is>
          <t>Пл4</t>
        </is>
      </c>
      <c r="E3" s="2" t="inlineStr">
        <is>
          <t>Пл5</t>
        </is>
      </c>
      <c r="F3" s="2" t="inlineStr">
        <is>
          <t>Пл6</t>
        </is>
      </c>
    </row>
    <row r="4">
      <c r="A4" s="9" t="inlineStr">
        <is>
          <t>Пл2</t>
        </is>
      </c>
      <c r="B4" s="4" t="inlineStr">
        <is>
          <t>—</t>
        </is>
      </c>
      <c r="C4" s="7">
        <f>SUMPRODUCT(--(Приведение!$C$8:$C$10&gt;=Приведение!$D$8:$D$10),Веса!$E$3:$E$5)</f>
        <v/>
      </c>
      <c r="D4" s="7">
        <f>SUMPRODUCT(--(Приведение!$C$8:$C$10&gt;=Приведение!$E$8:$E$10),Веса!$E$3:$E$5)</f>
        <v/>
      </c>
      <c r="E4" s="7">
        <f>SUMPRODUCT(--(Приведение!$C$8:$C$10&gt;=Приведение!$F$8:$F$10),Веса!$E$3:$E$5)</f>
        <v/>
      </c>
      <c r="F4" s="7">
        <f>SUMPRODUCT(--(Приведение!$C$8:$C$10&gt;=Приведение!$G$8:$G$10),Веса!$E$3:$E$5)</f>
        <v/>
      </c>
    </row>
    <row r="5">
      <c r="A5" s="9" t="inlineStr">
        <is>
          <t>Пл3</t>
        </is>
      </c>
      <c r="B5" s="7">
        <f>SUMPRODUCT(--(Приведение!$D$8:$D$10&gt;=Приведение!$C$8:$C$10),Веса!$E$3:$E$5)</f>
        <v/>
      </c>
      <c r="C5" s="4" t="inlineStr">
        <is>
          <t>—</t>
        </is>
      </c>
      <c r="D5" s="7">
        <f>SUMPRODUCT(--(Приведение!$D$8:$D$10&gt;=Приведение!$E$8:$E$10),Веса!$E$3:$E$5)</f>
        <v/>
      </c>
      <c r="E5" s="7">
        <f>SUMPRODUCT(--(Приведение!$D$8:$D$10&gt;=Приведение!$F$8:$F$10),Веса!$E$3:$E$5)</f>
        <v/>
      </c>
      <c r="F5" s="7">
        <f>SUMPRODUCT(--(Приведение!$D$8:$D$10&gt;=Приведение!$G$8:$G$10),Веса!$E$3:$E$5)</f>
        <v/>
      </c>
    </row>
    <row r="6">
      <c r="A6" s="9" t="inlineStr">
        <is>
          <t>Пл4</t>
        </is>
      </c>
      <c r="B6" s="7">
        <f>SUMPRODUCT(--(Приведение!$E$8:$E$10&gt;=Приведение!$C$8:$C$10),Веса!$E$3:$E$5)</f>
        <v/>
      </c>
      <c r="C6" s="7">
        <f>SUMPRODUCT(--(Приведение!$E$8:$E$10&gt;=Приведение!$D$8:$D$10),Веса!$E$3:$E$5)</f>
        <v/>
      </c>
      <c r="D6" s="4" t="inlineStr">
        <is>
          <t>—</t>
        </is>
      </c>
      <c r="E6" s="7">
        <f>SUMPRODUCT(--(Приведение!$E$8:$E$10&gt;=Приведение!$F$8:$F$10),Веса!$E$3:$E$5)</f>
        <v/>
      </c>
      <c r="F6" s="7">
        <f>SUMPRODUCT(--(Приведение!$E$8:$E$10&gt;=Приведение!$G$8:$G$10),Веса!$E$3:$E$5)</f>
        <v/>
      </c>
    </row>
    <row r="7">
      <c r="A7" s="9" t="inlineStr">
        <is>
          <t>Пл5</t>
        </is>
      </c>
      <c r="B7" s="7">
        <f>SUMPRODUCT(--(Приведение!$F$8:$F$10&gt;=Приведение!$C$8:$C$10),Веса!$E$3:$E$5)</f>
        <v/>
      </c>
      <c r="C7" s="7">
        <f>SUMPRODUCT(--(Приведение!$F$8:$F$10&gt;=Приведение!$D$8:$D$10),Веса!$E$3:$E$5)</f>
        <v/>
      </c>
      <c r="D7" s="7">
        <f>SUMPRODUCT(--(Приведение!$F$8:$F$10&gt;=Приведение!$E$8:$E$10),Веса!$E$3:$E$5)</f>
        <v/>
      </c>
      <c r="E7" s="4" t="inlineStr">
        <is>
          <t>—</t>
        </is>
      </c>
      <c r="F7" s="7">
        <f>SUMPRODUCT(--(Приведение!$F$8:$F$10&gt;=Приведение!$G$8:$G$10),Веса!$E$3:$E$5)</f>
        <v/>
      </c>
    </row>
    <row r="8">
      <c r="A8" s="9" t="inlineStr">
        <is>
          <t>Пл6</t>
        </is>
      </c>
      <c r="B8" s="7">
        <f>SUMPRODUCT(--(Приведение!$G$8:$G$10&gt;=Приведение!$C$8:$C$10),Веса!$E$3:$E$5)</f>
        <v/>
      </c>
      <c r="C8" s="7">
        <f>SUMPRODUCT(--(Приведение!$G$8:$G$10&gt;=Приведение!$D$8:$D$10),Веса!$E$3:$E$5)</f>
        <v/>
      </c>
      <c r="D8" s="7">
        <f>SUMPRODUCT(--(Приведение!$G$8:$G$10&gt;=Приведение!$E$8:$E$10),Веса!$E$3:$E$5)</f>
        <v/>
      </c>
      <c r="E8" s="7">
        <f>SUMPRODUCT(--(Приведение!$G$8:$G$10&gt;=Приведение!$F$8:$F$10),Веса!$E$3:$E$5)</f>
        <v/>
      </c>
      <c r="F8" s="4" t="inlineStr">
        <is>
          <t>—</t>
        </is>
      </c>
    </row>
    <row r="10">
      <c r="A10" s="5" t="inlineStr">
        <is>
          <t>Индексы несогласия: наибольшее отставание строки от столбца</t>
        </is>
      </c>
    </row>
    <row r="11">
      <c r="A11" s="2" t="inlineStr"/>
      <c r="B11" s="2" t="inlineStr">
        <is>
          <t>Пл2</t>
        </is>
      </c>
      <c r="C11" s="2" t="inlineStr">
        <is>
          <t>Пл3</t>
        </is>
      </c>
      <c r="D11" s="2" t="inlineStr">
        <is>
          <t>Пл4</t>
        </is>
      </c>
      <c r="E11" s="2" t="inlineStr">
        <is>
          <t>Пл5</t>
        </is>
      </c>
      <c r="F11" s="2" t="inlineStr">
        <is>
          <t>Пл6</t>
        </is>
      </c>
    </row>
    <row r="12">
      <c r="A12" s="9" t="inlineStr">
        <is>
          <t>Пл2</t>
        </is>
      </c>
      <c r="B12" s="4" t="inlineStr">
        <is>
          <t>—</t>
        </is>
      </c>
      <c r="C12" s="7">
        <f>SUMPRODUCT(MAX(0,Приведение!$D$8:$D$10-Приведение!$C$8:$C$10))</f>
        <v/>
      </c>
      <c r="D12" s="7">
        <f>SUMPRODUCT(MAX(0,Приведение!$E$8:$E$10-Приведение!$C$8:$C$10))</f>
        <v/>
      </c>
      <c r="E12" s="7">
        <f>SUMPRODUCT(MAX(0,Приведение!$F$8:$F$10-Приведение!$C$8:$C$10))</f>
        <v/>
      </c>
      <c r="F12" s="7">
        <f>SUMPRODUCT(MAX(0,Приведение!$G$8:$G$10-Приведение!$C$8:$C$10))</f>
        <v/>
      </c>
    </row>
    <row r="13">
      <c r="A13" s="9" t="inlineStr">
        <is>
          <t>Пл3</t>
        </is>
      </c>
      <c r="B13" s="7">
        <f>SUMPRODUCT(MAX(0,Приведение!$C$8:$C$10-Приведение!$D$8:$D$10))</f>
        <v/>
      </c>
      <c r="C13" s="4" t="inlineStr">
        <is>
          <t>—</t>
        </is>
      </c>
      <c r="D13" s="7">
        <f>SUMPRODUCT(MAX(0,Приведение!$E$8:$E$10-Приведение!$D$8:$D$10))</f>
        <v/>
      </c>
      <c r="E13" s="7">
        <f>SUMPRODUCT(MAX(0,Приведение!$F$8:$F$10-Приведение!$D$8:$D$10))</f>
        <v/>
      </c>
      <c r="F13" s="7">
        <f>SUMPRODUCT(MAX(0,Приведение!$G$8:$G$10-Приведение!$D$8:$D$10))</f>
        <v/>
      </c>
    </row>
    <row r="14">
      <c r="A14" s="9" t="inlineStr">
        <is>
          <t>Пл4</t>
        </is>
      </c>
      <c r="B14" s="7">
        <f>SUMPRODUCT(MAX(0,Приведение!$C$8:$C$10-Приведение!$E$8:$E$10))</f>
        <v/>
      </c>
      <c r="C14" s="7">
        <f>SUMPRODUCT(MAX(0,Приведение!$D$8:$D$10-Приведение!$E$8:$E$10))</f>
        <v/>
      </c>
      <c r="D14" s="4" t="inlineStr">
        <is>
          <t>—</t>
        </is>
      </c>
      <c r="E14" s="7">
        <f>SUMPRODUCT(MAX(0,Приведение!$F$8:$F$10-Приведение!$E$8:$E$10))</f>
        <v/>
      </c>
      <c r="F14" s="7">
        <f>SUMPRODUCT(MAX(0,Приведение!$G$8:$G$10-Приведение!$E$8:$E$10))</f>
        <v/>
      </c>
    </row>
    <row r="15">
      <c r="A15" s="9" t="inlineStr">
        <is>
          <t>Пл5</t>
        </is>
      </c>
      <c r="B15" s="7">
        <f>SUMPRODUCT(MAX(0,Приведение!$C$8:$C$10-Приведение!$F$8:$F$10))</f>
        <v/>
      </c>
      <c r="C15" s="7">
        <f>SUMPRODUCT(MAX(0,Приведение!$D$8:$D$10-Приведение!$F$8:$F$10))</f>
        <v/>
      </c>
      <c r="D15" s="7">
        <f>SUMPRODUCT(MAX(0,Приведение!$E$8:$E$10-Приведение!$F$8:$F$10))</f>
        <v/>
      </c>
      <c r="E15" s="4" t="inlineStr">
        <is>
          <t>—</t>
        </is>
      </c>
      <c r="F15" s="7">
        <f>SUMPRODUCT(MAX(0,Приведение!$G$8:$G$10-Приведение!$F$8:$F$10))</f>
        <v/>
      </c>
    </row>
    <row r="16">
      <c r="A16" s="9" t="inlineStr">
        <is>
          <t>Пл6</t>
        </is>
      </c>
      <c r="B16" s="7">
        <f>SUMPRODUCT(MAX(0,Приведение!$C$8:$C$10-Приведение!$G$8:$G$10))</f>
        <v/>
      </c>
      <c r="C16" s="7">
        <f>SUMPRODUCT(MAX(0,Приведение!$D$8:$D$10-Приведение!$G$8:$G$10))</f>
        <v/>
      </c>
      <c r="D16" s="7">
        <f>SUMPRODUCT(MAX(0,Приведение!$E$8:$E$10-Приведение!$G$8:$G$10))</f>
        <v/>
      </c>
      <c r="E16" s="7">
        <f>SUMPRODUCT(MAX(0,Приведение!$F$8:$F$10-Приведение!$G$8:$G$10))</f>
        <v/>
      </c>
      <c r="F16" s="4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4" customHeight="1">
      <c r="A1" s="1" t="inlineStr">
        <is>
          <t>Итог: сравнение расчёта программы и формул Excel</t>
        </is>
      </c>
    </row>
    <row r="2">
      <c r="A2" s="2" t="inlineStr">
        <is>
          <t>Площадка</t>
        </is>
      </c>
      <c r="B2" s="2" t="inlineStr">
        <is>
          <t>Мин. индекс согласия (Excel)</t>
        </is>
      </c>
      <c r="C2" s="2" t="inlineStr">
        <is>
          <t>Мин. индекс согласия (программа)</t>
        </is>
      </c>
      <c r="D2" s="2" t="inlineStr">
        <is>
          <t>Макс. индекс несогласия (Excel)</t>
        </is>
      </c>
      <c r="E2" s="2" t="inlineStr">
        <is>
          <t>Макс. индекс несогласия (программа)</t>
        </is>
      </c>
      <c r="F2" s="2" t="inlineStr">
        <is>
          <t>Вывод Excel</t>
        </is>
      </c>
      <c r="G2" s="2" t="inlineStr">
        <is>
          <t>Вывод программы</t>
        </is>
      </c>
    </row>
    <row r="3">
      <c r="A3" s="12" t="inlineStr">
        <is>
          <t>Пл2</t>
        </is>
      </c>
      <c r="B3" s="7">
        <f>MIN(ЭЛЕКТРА!B4:G4)</f>
        <v/>
      </c>
      <c r="C3" s="7" t="n">
        <v>0.391304</v>
      </c>
      <c r="D3" s="7">
        <f>MAX(ЭЛЕКТРА!B12:G12)</f>
        <v/>
      </c>
      <c r="E3" s="7" t="n">
        <v>0.626667</v>
      </c>
      <c r="F3" s="4">
        <f>IF(AND(B3&gt;=$B$10,D3&lt;=$B$11),"входит в ядро","—")</f>
        <v/>
      </c>
      <c r="G3" s="4" t="inlineStr">
        <is>
          <t>—</t>
        </is>
      </c>
    </row>
    <row r="4">
      <c r="A4" s="12" t="inlineStr">
        <is>
          <t>Пл3</t>
        </is>
      </c>
      <c r="B4" s="7">
        <f>MIN(ЭЛЕКТРА!B5:G5)</f>
        <v/>
      </c>
      <c r="C4" s="7" t="n">
        <v>0.347826</v>
      </c>
      <c r="D4" s="7">
        <f>MAX(ЭЛЕКТРА!B13:G13)</f>
        <v/>
      </c>
      <c r="E4" s="7" t="n">
        <v>0.688889</v>
      </c>
      <c r="F4" s="4">
        <f>IF(AND(B4&gt;=$B$10,D4&lt;=$B$11),"входит в ядро","—")</f>
        <v/>
      </c>
      <c r="G4" s="4" t="inlineStr">
        <is>
          <t>—</t>
        </is>
      </c>
    </row>
    <row r="5">
      <c r="A5" s="12" t="inlineStr">
        <is>
          <t>Пл4</t>
        </is>
      </c>
      <c r="B5" s="7">
        <f>MIN(ЭЛЕКТРА!B6:G6)</f>
        <v/>
      </c>
      <c r="C5" s="7" t="n">
        <v>0.347826</v>
      </c>
      <c r="D5" s="7">
        <f>MAX(ЭЛЕКТРА!B14:G14)</f>
        <v/>
      </c>
      <c r="E5" s="7" t="n">
        <v>0.444444</v>
      </c>
      <c r="F5" s="4">
        <f>IF(AND(B5&gt;=$B$10,D5&lt;=$B$11),"входит в ядро","—")</f>
        <v/>
      </c>
      <c r="G5" s="4" t="inlineStr">
        <is>
          <t>—</t>
        </is>
      </c>
    </row>
    <row r="6">
      <c r="A6" s="13" t="inlineStr">
        <is>
          <t>Пл5</t>
        </is>
      </c>
      <c r="B6" s="14">
        <f>MIN(ЭЛЕКТРА!B7:G7)</f>
        <v/>
      </c>
      <c r="C6" s="14" t="n">
        <v>0.608696</v>
      </c>
      <c r="D6" s="14">
        <f>MAX(ЭЛЕКТРА!B15:G15)</f>
        <v/>
      </c>
      <c r="E6" s="14" t="n">
        <v>0.333333</v>
      </c>
      <c r="F6" s="15">
        <f>IF(AND(B6&gt;=$B$10,D6&lt;=$B$11),"входит в ядро","—")</f>
        <v/>
      </c>
      <c r="G6" s="15" t="inlineStr">
        <is>
          <t>входит в ядро</t>
        </is>
      </c>
    </row>
    <row r="7">
      <c r="A7" s="12" t="inlineStr">
        <is>
          <t>Пл6</t>
        </is>
      </c>
      <c r="B7" s="7">
        <f>MIN(ЭЛЕКТРА!B8:G8)</f>
        <v/>
      </c>
      <c r="C7" s="7" t="n">
        <v>0.391304</v>
      </c>
      <c r="D7" s="7">
        <f>MAX(ЭЛЕКТРА!B16:G16)</f>
        <v/>
      </c>
      <c r="E7" s="7" t="n">
        <v>0.626667</v>
      </c>
      <c r="F7" s="4">
        <f>IF(AND(B7&gt;=$B$10,D7&lt;=$B$11),"входит в ядро","—")</f>
        <v/>
      </c>
      <c r="G7" s="4" t="inlineStr">
        <is>
          <t>—</t>
        </is>
      </c>
    </row>
    <row r="10">
      <c r="A10" s="5" t="inlineStr">
        <is>
          <t>Порог индекса согласия c*</t>
        </is>
      </c>
      <c r="B10" s="5" t="n">
        <v>0.5</v>
      </c>
    </row>
    <row r="11">
      <c r="A11" s="5" t="inlineStr">
        <is>
          <t>Порог индекса несогласия d*</t>
        </is>
      </c>
      <c r="B11" s="5" t="n">
        <v>0.5</v>
      </c>
    </row>
    <row r="12">
      <c r="A12" t="inlineStr">
        <is>
          <t>Пороги можно менять прямо здесь: столбец «Вывод Excel» пересчитается сам.</t>
        </is>
      </c>
    </row>
    <row r="14">
      <c r="A14" s="5" t="inlineStr">
        <is>
          <t>Проверка совпадения</t>
        </is>
      </c>
      <c r="B14" s="11">
        <f>IF(AND(SUMPRODUCT(--(ABS(B3:B7-C3:C7)&gt;0.001))=0,SUMPRODUCT(--(ABS(D3:D7-E3:E7)&gt;0.001))=0),"Совпадает: формулы Excel дают те же индексы","Есть расхождения")</f>
        <v/>
      </c>
    </row>
    <row r="15">
      <c r="A15" s="5" t="inlineStr">
        <is>
          <t>Ядро по расчёту программы</t>
        </is>
      </c>
      <c r="B15" s="16" t="inlineStr">
        <is>
          <t>Пл5</t>
        </is>
      </c>
    </row>
    <row r="17">
      <c r="A17" s="5" t="inlineStr">
        <is>
          <t>Веса критериев (метод ранга)</t>
        </is>
      </c>
      <c r="C17" s="5" t="inlineStr">
        <is>
          <t>значение из формул Excel</t>
        </is>
      </c>
    </row>
    <row r="18">
      <c r="A18" t="inlineStr">
        <is>
          <t>Дорожная сеть</t>
        </is>
      </c>
      <c r="B18" s="17" t="n">
        <v>0.347826</v>
      </c>
      <c r="C18" s="17">
        <f>Веса!E3</f>
        <v/>
      </c>
    </row>
    <row r="19">
      <c r="A19" t="inlineStr">
        <is>
          <t>Энергоснабжение</t>
        </is>
      </c>
      <c r="B19" s="17" t="n">
        <v>0.26087</v>
      </c>
      <c r="C19" s="17">
        <f>Веса!E4</f>
        <v/>
      </c>
    </row>
    <row r="20">
      <c r="A20" t="inlineStr">
        <is>
          <t>Затраты на подготовку</t>
        </is>
      </c>
      <c r="B20" s="17" t="n">
        <v>0.391304</v>
      </c>
      <c r="C20" s="17">
        <f>Веса!E5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2026-09-20T12:13:41Z</dcterms:created>
  <dcterms:modified xmlns:dcterms="http://purl.org/dc/terms/" xmlns:xsi="http://www.w3.org/2001/XMLSchema-instance" xsi:type="dcterms:W3CDTF">2026-09-20T12:13:41Z</dcterms:modified>
</cp:coreProperties>
</file>